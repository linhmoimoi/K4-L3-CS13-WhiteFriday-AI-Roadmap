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calcMode="auto" fullCalcOnLoad="1" forceFullCalc="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<sst xmlns="http://schemas.openxmlformats.org/spreadsheetml/2006/main" count="189" uniqueCount="183">
  <si>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2 · ChấmNhanh</t>
  </si>
  <si>
    <t xml:space="preserve">AI in Action · Track 1 · Khóa 4. FILE LÀM BÀI CỦA NHÓM · Đề 2 · ChấmNhanh.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</si>
  <si>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</si>
  <si>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</si>
  <si>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2.</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</si>
  <si>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</si>
  <si>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</si>
  <si>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</si>
  <si>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</si>
  <si>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</si>
  <si>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</si>
  <si>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2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</si>
  <si>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</si>
  <si>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</si>
  <si>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</si>
  <si>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</si>
  <si>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</si>
  <si>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</si>
  <si>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</si>
  <si>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</si>
  <si>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</si>
  <si>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</si>
  <si>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</si>
  <si>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</si>
  <si>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</si>
  <si>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</si>
  <si>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</si>
  <si>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</si>
  <si>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</si>
  <si>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</si>
  <si>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</si>
  <si>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</si>
  <si>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</si>
  <si>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</si>
  <si>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</si>
  <si>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</si>
  <si>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</si>
  <si>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</si>
  <si>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</si>
  <si>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</si>
  <si>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</si>
  <si>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</si>
  <si>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</si>
  <si>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</si>
  <si>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</si>
  <si>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</si>
  <si>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</si>
  <si>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</si>
  <si>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</si>
  <si>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</si>
  <si>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</si>
  <si>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</si>
  <si>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</si>
  <si>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</si>
  <si>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</si>
  <si>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</si>
  <si>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</si>
  <si>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</si>
  <si>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</si>
  <si>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</si>
  <si>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</si>
  <si>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</si>
  <si>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</si>
  <si>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</si>
  <si>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</si>
  <si>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</si>
  <si>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</si>
  <si>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</si>
  <si>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</si>
  <si>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</si>
  <si>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</si>
  <si>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</si>
  <si>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</si>
  <si>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</si>
  <si>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</si>
  <si>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</si>
  <si>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</si>
  <si>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</si>
  <si>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</si>
  <si>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</si>
  <si>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</si>
  <si>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</si>
  <si>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</si>
  <si>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</si>
  <si>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</si>
  <si>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</si>
  <si>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</si>
  <si>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</si>
  <si>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</si>
  <si>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</si>
  <si>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</si>
  <si>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Doanh thu bình quân (55% doanh thu đến từ 25% trung tâm lớn)</t>
  </si>
  <si>
    <t xml:space="preserve">dòng 7</t>
  </si>
  <si>
    <t xml:space="preserve">Điều kiện dừng đã chọn (theo đề)</t>
  </si>
  <si>
    <t xml:space="preserve">NẾU doanh thu bình quân sau chia dưới 3,95 triệu/trung tâm trong 2 tháng liên tiếp, trên ít nhất 15 trung tâm, THÌ dừng mở rộng</t>
  </si>
  <si>
    <t xml:space="preserve">dòng 8</t>
  </si>
  <si>
    <t xml:space="preserve">Kịch bản xấu hết tiền ở tháng</t>
  </si>
  <si>
    <t xml:space="preserve">dòng 9</t>
  </si>
  <si>
    <t xml:space="preserve">Ghi chú: người duyệt của mình là giáo viên duyệt bài do công ty trả tiền. Hai giáo viên giỏi chỉ khớp nhau khoảng 70% trong phạm vi 0,5 điểm: đừng đặt cổng cao hơn mức đó.</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</si>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</sst>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78" hidden="false" customHeight="1" outlineLevel="0" collapsed="false">
      <c r="A5" s="7" t="s">
        <v>18</v>
      </c>
      <c r="B5" s="8" t="str">
        <v>Có</v>
      </c>
      <c r="C5" s="7" t="s">
        <v>19</v>
      </c>
      <c r="D5" s="7" t="s">
        <v>20</v>
      </c>
      <c r="E5" s="8" t="str">
        <v>Đề 2: 769đ AI + 250đ khác/bài; 3 phút duyệt × 120.000đ/giờ; 5,21 triệu/1.000 bài; ngưỡng dừng 3,95 triệu, 2 tháng, ≥15 trung tâm.</v>
      </c>
    </row>
    <row r="6" customFormat="false" ht="78" hidden="false" customHeight="1" outlineLevel="0" collapsed="false">
      <c r="A6" s="7" t="s">
        <v>21</v>
      </c>
      <c r="B6" s="8" t="str">
        <v>Có</v>
      </c>
      <c r="C6" s="7" t="s">
        <v>22</v>
      </c>
      <c r="D6" s="7" t="s">
        <v>23</v>
      </c>
      <c r="E6" s="8" t="str">
        <v>ChấmNhanh: 1 việc = 1 bài viết chấm 4 tiêu chí kèm nhận xét; 1.500 bài/tuần tại tổ chuyên môn; bán qua đối tác (chia 20%).</v>
      </c>
    </row>
    <row r="7" customFormat="false" ht="78" hidden="false" customHeight="1" outlineLevel="0" collapsed="false">
      <c r="A7" s="7" t="s">
        <v>24</v>
      </c>
      <c r="B7" s="8" t="str">
        <v>Có</v>
      </c>
      <c r="C7" s="7" t="s">
        <v>25</v>
      </c>
      <c r="D7" s="7" t="s">
        <v>26</v>
      </c>
      <c r="E7" s="8" t="str">
        <v>Giữ 6 việc gợi ý, thêm 2 việc khắc phục tầng Khó và kiểm chứng khiếu nại; thứ tự ưu tiên và phương án Mua/Chờ có lý do ở cột Q.</v>
      </c>
    </row>
    <row r="8" customFormat="false" ht="78" hidden="false" customHeight="1" outlineLevel="0" collapsed="false">
      <c r="A8" s="7" t="s">
        <v>27</v>
      </c>
      <c r="B8" s="8" t="str">
        <v>Có</v>
      </c>
      <c r="C8" s="7" t="s">
        <v>28</v>
      </c>
      <c r="D8" s="7" t="s">
        <v>29</v>
      </c>
      <c r="E8" s="8" t="str">
        <v>Bộ 40 bài; 82,6% ≥80%, 0 lỗi nặng, kappa 0,80, nhưng 1 tầng tụt; bản 2 chỉ phát hành giới hạn, bài 5,0–6,5 chuyển giáo viên.</v>
      </c>
    </row>
    <row r="9" customFormat="false" ht="78" hidden="false" customHeight="1" outlineLevel="0" collapsed="false">
      <c r="A9" s="7" t="s">
        <v>30</v>
      </c>
      <c r="B9" s="8" t="str">
        <v>Có</v>
      </c>
      <c r="C9" s="7" t="s">
        <v>31</v>
      </c>
      <c r="D9" s="7" t="s">
        <v>32</v>
      </c>
      <c r="E9" s="8" t="str">
        <v>Cô Lan (10 năm) và thầy Khoa (3 năm): mỗi người tối đa 2 giờ/tuần; 1 vòng 40 bài ≈14,2 giờ, cần chia ≥4 tuần.</v>
      </c>
    </row>
    <row r="10" customFormat="false" ht="78" hidden="false" customHeight="1" outlineLevel="0" collapsed="false">
      <c r="A10" s="7" t="s">
        <v>33</v>
      </c>
      <c r="B10" s="8" t="str">
        <v>Có</v>
      </c>
      <c r="C10" s="7" t="s">
        <v>34</v>
      </c>
      <c r="D10" s="7" t="s">
        <v>35</v>
      </c>
      <c r="E10" s="8" t="str">
        <v>Giáo viên công ty duyệt có tính chi phí; đo riêng % bài cần duyệt theo mức; lấy 70% chênh ≤0,5 giữa 2 GV làm mốc tham chiếu thực tế.</v>
      </c>
    </row>
    <row r="12" customFormat="false" ht="15" hidden="false" customHeight="true" outlineLevel="0" collapsed="false">
      <c r="A12" s="9" t="s">
        <v>36</v>
      </c>
      <c r="B12" s="5" t="n">
        <f aca="false">COUNTIF(B5:B10,"Có")</f>
        <v>6</v>
      </c>
    </row>
    <row r="13" customFormat="false" ht="15" hidden="false" customHeight="true" outlineLevel="0" collapsed="false">
      <c r="A13" s="3"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38</v>
      </c>
    </row>
    <row r="2" customFormat="false" ht="15" hidden="false" customHeight="true" outlineLevel="0" collapsed="false">
      <c r="A2" s="3" t="s">
        <v>39</v>
      </c>
    </row>
    <row r="4" customFormat="false" ht="39" hidden="false" customHeight="true" outlineLevel="0" collapsed="false">
      <c r="A4" s="10" t="s">
        <v>40</v>
      </c>
      <c r="B4" s="10" t="s">
        <v>41</v>
      </c>
      <c r="C4" s="10" t="s">
        <v>42</v>
      </c>
      <c r="D4" s="10" t="s">
        <v>43</v>
      </c>
      <c r="E4" s="10" t="s">
        <v>44</v>
      </c>
      <c r="F4" s="10" t="s">
        <v>45</v>
      </c>
      <c r="G4" s="10" t="s">
        <v>46</v>
      </c>
      <c r="H4" s="10" t="s">
        <v>47</v>
      </c>
      <c r="I4" s="10" t="s">
        <v>48</v>
      </c>
      <c r="J4" s="10" t="s">
        <v>49</v>
      </c>
      <c r="K4" s="10" t="s">
        <v>50</v>
      </c>
      <c r="L4" s="10" t="s">
        <v>51</v>
      </c>
      <c r="M4" s="10" t="s">
        <v>52</v>
      </c>
      <c r="N4" s="10" t="s">
        <v>53</v>
      </c>
      <c r="O4" s="10" t="s">
        <v>54</v>
      </c>
      <c r="P4" s="10" t="s">
        <v>55</v>
      </c>
      <c r="Q4" s="10" t="s">
        <v>56</v>
      </c>
    </row>
    <row r="5" customFormat="false" ht="84" hidden="false" customHeight="1" outlineLevel="0" collapsed="false">
      <c r="A5" s="11" t="n">
        <v>1</v>
      </c>
      <c r="B5" s="8" t="str">
        <v>Chuyển bài Khó/ranh giới cho giáo viên</v>
      </c>
      <c r="C5" s="8" t="str">
        <v>Không bài Khó nào bị máy tự chốt; ca 5,0–6,5 có giáo viên xử lý</v>
      </c>
      <c r="D5" s="8" t="str">
        <v>Ta tin rằng chặn ca Khó và vùng 5,0–6,5 giúp tránh chấm lệch lớn; biết đúng khi định tuyến đạt 100%.</v>
      </c>
      <c r="E5" s="8" t="str">
        <v>Trên ≥200 bài pilot: 100% bài Khó/vùng 5,0–6,5 được chuyển; 0 ca Khó tự chốt; 0 ca lệch &gt;1 điểm được phát ra.</v>
      </c>
      <c r="F5" s="8" t="n">
        <v>5</v>
      </c>
      <c r="G5" s="8" t="n">
        <v>5</v>
      </c>
      <c r="H5" s="8" t="n">
        <v>1</v>
      </c>
      <c r="I5" s="8" t="n">
        <v>2</v>
      </c>
      <c r="J5" s="8" t="n">
        <v>0.9</v>
      </c>
      <c r="K5" s="8" t="n">
        <v>0.9</v>
      </c>
      <c r="L5" s="8" t="n">
        <v>0.15</v>
      </c>
      <c r="M5" s="12" t="n">
        <f aca="false">IF(COUNT(F5:L5)&lt;7,"",ROUND(F5*G5*H5/I5*(0.5+0.5*AVERAGE(J5:K5))*(1-0.5*L5),2))</f>
        <v>10.98</v>
      </c>
      <c r="N5" s="12" t="n">
        <f aca="false">IF(M5="","",RANK(M5,$M$5:$M$14))</f>
        <v>1</v>
      </c>
      <c r="O5" s="13" t="str">
        <f aca="false">IF(B5="","",IF(OR(D5="",E5=""),"Thiếu",IF(SUMPRODUCT(--ISNUMBER(SEARCH({"0","1","2","3","4","5","6","7","8","9"},E5)))&gt;0,"Có","Thiếu")))</f>
        <v>Có</v>
      </c>
      <c r="P5" s="14" t="str">
        <v>Tự làm</v>
      </c>
      <c r="Q5" s="14" t="str">
        <v>Đưa gợi ý #3 lên trước vì hiện có 1 tầng tụt và 2 khiếu nại; bắt buộc để phát hành giới hạn.</v>
      </c>
    </row>
    <row r="6" customFormat="false" ht="84" hidden="false" customHeight="1" outlineLevel="0" collapsed="false">
      <c r="A6" s="11" t="n">
        <v>2</v>
      </c>
      <c r="B6" s="8" t="str">
        <v>Khắc phục tầng Khó và kiểm thử hồi quy</v>
      </c>
      <c r="C6" s="8" t="str">
        <v>Tầng Khó không giảm so với bản cũ; đủ chứng cứ trước khi nâng mức</v>
      </c>
      <c r="D6" s="8" t="str">
        <v>Ta tin rằng thêm ca Khó, phân tích sai lệch rồi sửa giúp xoá tầng tụt; chỉ nâng mức khi qua lại toàn bộ cổng.</v>
      </c>
      <c r="E6" s="8" t="str">
        <v>Kiểm lại 40 bài/4 tầng: 0 tầng tụt, 0 lỗi nặng, kappa ≥0,80, tỷ lệ đạt quy thực ≥82,6%.</v>
      </c>
      <c r="F6" s="8" t="n">
        <v>4</v>
      </c>
      <c r="G6" s="8" t="n">
        <v>5</v>
      </c>
      <c r="H6" s="8" t="n">
        <v>0.8</v>
      </c>
      <c r="I6" s="8" t="n">
        <v>3</v>
      </c>
      <c r="J6" s="8" t="n">
        <v>0.8</v>
      </c>
      <c r="K6" s="8" t="n">
        <v>1</v>
      </c>
      <c r="L6" s="8" t="n">
        <v>0.2</v>
      </c>
      <c r="M6" s="12" t="n">
        <f aca="false">IF(COUNT(F6:L6)&lt;7,"",ROUND(F6*G6*H6/I6*(0.5+0.5*AVERAGE(J6:K6))*(1-0.5*L6),2))</f>
        <v>4.56</v>
      </c>
      <c r="N6" s="12" t="n">
        <f aca="false">IF(M6="","",RANK(M6,$M$5:$M$14))</f>
        <v>4</v>
      </c>
      <c r="O6" s="13" t="str">
        <f aca="false">IF(B6="","",IF(OR(D6="",E6=""),"Thiếu",IF(SUMPRODUCT(--ISNUMBER(SEARCH({"0","1","2","3","4","5","6","7","8","9"},E6)))&gt;0,"Có","Thiếu")))</f>
        <v>Có</v>
      </c>
      <c r="P6" s="14" t="str">
        <v>Tự làm</v>
      </c>
      <c r="Q6" s="14" t="str">
        <v>Việc bổ sung, chưa được bỏ: 1 tầng đang tụt; 40 bài cần 14,2 giờ chuyên gia, chia ít nhất 4 tuần.</v>
      </c>
    </row>
    <row r="7" customFormat="false" ht="84" hidden="false" customHeight="1" outlineLevel="0" collapsed="false">
      <c r="A7" s="11" t="n">
        <v>3</v>
      </c>
      <c r="B7" s="8" t="str">
        <v>Chấm điểm 4 tiêu chí cho bài thường</v>
      </c>
      <c r="C7" s="8" t="str">
        <v>Giảm ≥60% giờ chấm bài thường, điểm vẫn đáng tin</v>
      </c>
      <c r="D7" s="8" t="str">
        <v>Ta tin chấm tách 4 tiêu chí rồi cộng giúp giáo viên giảm thời gian mà không tăng lệch điểm.</v>
      </c>
      <c r="E7" s="8" t="str">
        <v>≥200 bài Thường: ≥70% lệch ≤0,5 điểm so với GV, 0 lệch &gt;1 điểm; giảm ≥60% phút chấm/bài.</v>
      </c>
      <c r="F7" s="8" t="n">
        <v>5</v>
      </c>
      <c r="G7" s="8" t="n">
        <v>5</v>
      </c>
      <c r="H7" s="8" t="n">
        <v>0.8</v>
      </c>
      <c r="I7" s="8" t="n">
        <v>3</v>
      </c>
      <c r="J7" s="8" t="n">
        <v>0.9</v>
      </c>
      <c r="K7" s="8" t="n">
        <v>0.9</v>
      </c>
      <c r="L7" s="8" t="n">
        <v>0.35</v>
      </c>
      <c r="M7" s="12" t="n">
        <f aca="false">IF(COUNT(F7:L7)&lt;7,"",ROUND(F7*G7*H7/I7*(0.5+0.5*AVERAGE(J7:K7))*(1-0.5*L7),2))</f>
        <v>5.23</v>
      </c>
      <c r="N7" s="12" t="n">
        <f aca="false">IF(M7="","",RANK(M7,$M$5:$M$14))</f>
        <v>3</v>
      </c>
      <c r="O7" s="13" t="str">
        <f aca="false">IF(B7="","",IF(OR(D7="",E7=""),"Thiếu",IF(SUMPRODUCT(--ISNUMBER(SEARCH({"0","1","2","3","4","5","6","7","8","9"},E7)))&gt;0,"Có","Thiếu")))</f>
        <v>Có</v>
      </c>
      <c r="P7" s="14" t="str">
        <v>Tự làm</v>
      </c>
      <c r="Q7" s="14" t="str">
        <v>Giữ gợi ý #1 nhưng làm sau luồng chuyển ca rủi ro; hiện chỉ triển khai bài Thường.</v>
      </c>
    </row>
    <row r="8" customFormat="false" ht="84" hidden="false" customHeight="1" outlineLevel="0" collapsed="false">
      <c r="A8" s="11" t="n">
        <v>4</v>
      </c>
      <c r="B8" s="8" t="str">
        <v>Theo dõi sai lệch, minh chứng và khiếu nại</v>
      </c>
      <c r="C8" s="8" t="str">
        <v>Đối tác truy xuất được lý do chấm; xử lý nhanh lệch điểm</v>
      </c>
      <c r="D8" s="8" t="str">
        <v>Ta tin rằng lưu điểm từng tiêu chí và đối chiếu GV định kỳ sẽ tăng niềm tin của trung tâm lớn.</v>
      </c>
      <c r="E8" s="8" t="str">
        <v>100% bài lưu log 4 tiêu chí và phiên bản; ≥40 bài đối chiếu/tháng; 100% khiếu nại xử lý ≤48 giờ.</v>
      </c>
      <c r="F8" s="8" t="n">
        <v>5</v>
      </c>
      <c r="G8" s="8" t="n">
        <v>5</v>
      </c>
      <c r="H8" s="8" t="n">
        <v>0.8</v>
      </c>
      <c r="I8" s="8" t="n">
        <v>2</v>
      </c>
      <c r="J8" s="8" t="n">
        <v>0.85</v>
      </c>
      <c r="K8" s="8" t="n">
        <v>0.95</v>
      </c>
      <c r="L8" s="8" t="n">
        <v>0.25</v>
      </c>
      <c r="M8" s="12" t="n">
        <f aca="false">IF(COUNT(F8:L8)&lt;7,"",ROUND(F8*G8*H8/I8*(0.5+0.5*AVERAGE(J8:K8))*(1-0.5*L8),2))</f>
        <v>8.31</v>
      </c>
      <c r="N8" s="12" t="n">
        <f aca="false">IF(M8="","",RANK(M8,$M$5:$M$14))</f>
        <v>2</v>
      </c>
      <c r="O8" s="13" t="str">
        <f aca="false">IF(B8="","",IF(OR(D8="",E8=""),"Thiếu",IF(SUMPRODUCT(--ISNUMBER(SEARCH({"0","1","2","3","4","5","6","7","8","9"},E8)))&gt;0,"Có","Thiếu")))</f>
        <v>Có</v>
      </c>
      <c r="P8" s="14" t="str">
        <v>Tự làm</v>
      </c>
      <c r="Q8" s="14" t="str">
        <v>Việc bổ sung: đối tác lớn đòi chứng cứ; đã có 2 khiếu nại lệch 1 điểm. Xếp sớm vì rủi ro.</v>
      </c>
    </row>
    <row r="9" customFormat="false" ht="84" hidden="false" customHeight="1" outlineLevel="0" collapsed="false">
      <c r="A9" s="11" t="n">
        <v>5</v>
      </c>
      <c r="B9" s="8" t="str">
        <v>Nhận xét có trích câu và gợi ý sửa</v>
      </c>
      <c r="C9" s="8" t="str">
        <v>Học sinh nhìn thấy bằng chứng, sửa được bài sau</v>
      </c>
      <c r="D9" s="8" t="str">
        <v>Ta tin phản hồi gắn đúng câu lỗi và cách sửa sẽ giúp học sinh tự cải thiện mà không phụ thuộc điểm máy.</v>
      </c>
      <c r="E9" s="8" t="str">
        <v>Trên ≥100 bài: ≥90% nhận xét trích đúng câu; ≥70% học sinh sửa được ≥1 lỗi trong lần nộp lại.</v>
      </c>
      <c r="F9" s="8" t="n">
        <v>4</v>
      </c>
      <c r="G9" s="8" t="n">
        <v>4</v>
      </c>
      <c r="H9" s="8" t="n">
        <v>0.8</v>
      </c>
      <c r="I9" s="8" t="n">
        <v>3</v>
      </c>
      <c r="J9" s="8" t="n">
        <v>0.85</v>
      </c>
      <c r="K9" s="8" t="n">
        <v>0.8</v>
      </c>
      <c r="L9" s="8" t="n">
        <v>0.35</v>
      </c>
      <c r="M9" s="12" t="n">
        <f aca="false">IF(COUNT(F9:L9)&lt;7,"",ROUND(F9*G9*H9/I9*(0.5+0.5*AVERAGE(J9:K9))*(1-0.5*L9),2))</f>
        <v>3.21</v>
      </c>
      <c r="N9" s="12" t="n">
        <f aca="false">IF(M9="","",RANK(M9,$M$5:$M$14))</f>
        <v>5</v>
      </c>
      <c r="O9" s="13" t="str">
        <f aca="false">IF(B9="","",IF(OR(D9="",E9=""),"Thiếu",IF(SUMPRODUCT(--ISNUMBER(SEARCH({"0","1","2","3","4","5","6","7","8","9"},E9)))&gt;0,"Có","Thiếu")))</f>
        <v>Có</v>
      </c>
      <c r="P9" s="14" t="str">
        <v>Tự làm</v>
      </c>
      <c r="Q9" s="14" t="str">
        <v>Giữ gợi ý #2, triển khai sau điểm và định tuyến ổn định; trích dẫn phải kiểm chứng được.</v>
      </c>
    </row>
    <row r="10" customFormat="false" ht="84" hidden="false" customHeight="1" outlineLevel="0" collapsed="false">
      <c r="A10" s="11" t="n">
        <v>6</v>
      </c>
      <c r="B10" s="8" t="str">
        <v>Sửa ngữ pháp từng câu</v>
      </c>
      <c r="C10" s="8" t="str">
        <v>Người học thấy lỗi ngữ pháp với chi phí phát triển thấp</v>
      </c>
      <c r="D10" s="8" t="str">
        <v>Ta tin tích hợp công cụ sửa câu đã có giúp học sinh nhận biết lỗi mà không phải xây mô hình mới.</v>
      </c>
      <c r="E10" s="8" t="str">
        <v>Trên ≥100 bài: ≥90% gợi ý chỉ đúng vị trí lỗi; ≥80% học viên thấy hướng sửa dễ hiểu.</v>
      </c>
      <c r="F10" s="8" t="n">
        <v>3</v>
      </c>
      <c r="G10" s="8" t="n">
        <v>2</v>
      </c>
      <c r="H10" s="8" t="n">
        <v>1</v>
      </c>
      <c r="I10" s="8" t="n">
        <v>1</v>
      </c>
      <c r="J10" s="8" t="n">
        <v>1</v>
      </c>
      <c r="K10" s="8" t="n">
        <v>1</v>
      </c>
      <c r="L10" s="8" t="n">
        <v>1</v>
      </c>
      <c r="M10" s="12" t="n">
        <f aca="false">IF(COUNT(F10:L10)&lt;7,"",ROUND(F10*G10*H10/I10*(0.5+0.5*AVERAGE(J10:K10))*(1-0.5*L10),2))</f>
        <v>3</v>
      </c>
      <c r="N10" s="12" t="n">
        <f aca="false">IF(M10="","",RANK(M10,$M$5:$M$14))</f>
        <v>6</v>
      </c>
      <c r="O10" s="13" t="str">
        <f aca="false">IF(B10="","",IF(OR(D10="",E10=""),"Thiếu",IF(SUMPRODUCT(--ISNUMBER(SEARCH({"0","1","2","3","4","5","6","7","8","9"},E10)))&gt;0,"Có","Thiếu")))</f>
        <v>Có</v>
      </c>
      <c r="P10" s="14" t="str">
        <v>Mua</v>
      </c>
      <c r="Q10" s="14" t="str">
        <v>Gợi ý #4: 'Mua' = tích hợp công cụ miễn phí sẵn có; không tự làm vì dễ bị nền tảng hấp thụ.</v>
      </c>
    </row>
    <row r="11" customFormat="false" ht="84" hidden="false" customHeight="1" outlineLevel="0" collapsed="false">
      <c r="A11" s="11" t="n">
        <v>7</v>
      </c>
      <c r="B11" s="8" t="str">
        <v>Tạo đề bài viết theo trình độ</v>
      </c>
      <c r="C11" s="8" t="str">
        <v>Giáo viên giảm giờ soạn đề mà vẫn đúng trình độ</v>
      </c>
      <c r="D11" s="8" t="str">
        <v>Ta tin dùng mô hình tạo đề sẵn có và giáo viên duyệt sẽ giúp giảm công soạn đề thủ công.</v>
      </c>
      <c r="E11" s="8" t="str">
        <v>Trên ≥30 đề: ≥90% được GV duyệt ngay, thời gian soạn giảm ≥30%; 0 đề lệch trình độ nghiêm trọng.</v>
      </c>
      <c r="F11" s="8" t="n">
        <v>3</v>
      </c>
      <c r="G11" s="8" t="n">
        <v>2</v>
      </c>
      <c r="H11" s="8" t="n">
        <v>0.8</v>
      </c>
      <c r="I11" s="8" t="n">
        <v>1</v>
      </c>
      <c r="J11" s="8" t="n">
        <v>1</v>
      </c>
      <c r="K11" s="8" t="n">
        <v>0.8</v>
      </c>
      <c r="L11" s="8" t="n">
        <v>0.9</v>
      </c>
      <c r="M11" s="12" t="n">
        <f aca="false">IF(COUNT(F11:L11)&lt;7,"",ROUND(F11*G11*H11/I11*(0.5+0.5*AVERAGE(J11:K11))*(1-0.5*L11),2))</f>
        <v>2.51</v>
      </c>
      <c r="N11" s="12" t="n">
        <f aca="false">IF(M11="","",RANK(M11,$M$5:$M$14))</f>
        <v>7</v>
      </c>
      <c r="O11" s="13" t="str">
        <f aca="false">IF(B11="","",IF(OR(D11="",E11=""),"Thiếu",IF(SUMPRODUCT(--ISNUMBER(SEARCH({"0","1","2","3","4","5","6","7","8","9"},E11)))&gt;0,"Có","Thiếu")))</f>
        <v>Có</v>
      </c>
      <c r="P11" s="14" t="str">
        <v>Mua</v>
      </c>
      <c r="Q11" s="14" t="str">
        <v>Gợi ý #6: 'Mua' = dùng mô hình tạo đề miễn phí đã có; làm sau phần chấm, tránh tự xây.</v>
      </c>
    </row>
    <row r="12" customFormat="false" ht="84" hidden="false" customHeight="1" outlineLevel="0" collapsed="false">
      <c r="A12" s="11" t="n">
        <v>8</v>
      </c>
      <c r="B12" s="8" t="str">
        <v>Báo cáo tiến bộ cho phụ huynh</v>
      </c>
      <c r="C12" s="8" t="str">
        <v>Có chứng cứ về tiến bộ sau ≥3 tháng, hỗ trợ gia hạn</v>
      </c>
      <c r="D12" s="8" t="str">
        <v>Ta tin báo cáo dựa trên chuỗi điểm nhiều kỳ sẽ làm phụ huynh hiểu tiến bộ; cần chờ dữ liệu đủ dài.</v>
      </c>
      <c r="E12" s="8" t="str">
        <v>Sau ≥3 tháng: ≥95% báo cáo có ≥2 mốc điểm; thử trên ≥15 trung tâm, đo chênh tỷ lệ gia hạn ≥5 điểm %.</v>
      </c>
      <c r="F12" s="8" t="n">
        <v>3</v>
      </c>
      <c r="G12" s="8" t="n">
        <v>3</v>
      </c>
      <c r="H12" s="8" t="n">
        <v>0.5</v>
      </c>
      <c r="I12" s="8" t="n">
        <v>5</v>
      </c>
      <c r="J12" s="8" t="n">
        <v>0.2</v>
      </c>
      <c r="K12" s="8" t="n">
        <v>0.3</v>
      </c>
      <c r="L12" s="8" t="n">
        <v>0.6</v>
      </c>
      <c r="M12" s="12" t="n">
        <f aca="false">IF(COUNT(F12:L12)&lt;7,"",ROUND(F12*G12*H12/I12*(0.5+0.5*AVERAGE(J12:K12))*(1-0.5*L12),2))</f>
        <v>0.39</v>
      </c>
      <c r="N12" s="12" t="n">
        <f aca="false">IF(M12="","",RANK(M12,$M$5:$M$14))</f>
        <v>8</v>
      </c>
      <c r="O12" s="13" t="str">
        <f aca="false">IF(B12="","",IF(OR(D12="",E12=""),"Thiếu",IF(SUMPRODUCT(--ISNUMBER(SEARCH({"0","1","2","3","4","5","6","7","8","9"},E12)))&gt;0,"Có","Thiếu")))</f>
        <v>Có</v>
      </c>
      <c r="P12" s="14" t="str">
        <v>Chờ</v>
      </c>
      <c r="Q12" s="14" t="str">
        <v>Gợi ý #5 dời sau tháng 3 do dữ liệu mới thu; chưa được xem tác động gia hạn là kết quả đo.</v>
      </c>
    </row>
    <row r="13" customFormat="false" ht="15" hidden="false" customHeight="true" outlineLevel="0" collapsed="false">
      <c r="A13" s="11" t="n">
        <v>9</v>
      </c>
      <c r="B13" s="8"/>
      <c r="C13" s="8"/>
      <c r="D13" s="8"/>
      <c r="E13" s="8"/>
      <c r="F13" s="8"/>
      <c r="G13" s="8"/>
      <c r="H13" s="8"/>
      <c r="I13" s="8"/>
      <c r="J13" s="8"/>
      <c r="K13" s="8"/>
      <c r="L13" s="8"/>
      <c r="M13" s="12" t="str">
        <f aca="false">IF(COUNT(F13:L13)&lt;7,"",ROUND(F13*G13*H13/I13*(0.5+0.5*AVERAGE(J13:K13))*(1-0.5*L13),2))</f>
        <v/>
      </c>
      <c r="N13" s="12" t="str">
        <f aca="false">IF(M13="","",RANK(M13,$M$5:$M$14))</f>
        <v/>
      </c>
      <c r="O13" s="13" t="str">
        <f aca="false">IF(B13="","",IF(OR(D13="",E13=""),"Thiếu",IF(SUMPRODUCT(--ISNUMBER(SEARCH({"0","1","2","3","4","5","6","7","8","9"},E13)))&gt;0,"Có","Thiếu")))</f>
        <v/>
      </c>
      <c r="P13" s="14"/>
      <c r="Q13" s="14"/>
    </row>
    <row r="14" customFormat="false" ht="15" hidden="false" customHeight="true" outlineLevel="0" collapsed="false">
      <c r="A14" s="11" t="n">
        <v>10</v>
      </c>
      <c r="B14" s="8"/>
      <c r="C14" s="8"/>
      <c r="D14" s="8"/>
      <c r="E14" s="8"/>
      <c r="F14" s="8"/>
      <c r="G14" s="8"/>
      <c r="H14" s="8"/>
      <c r="I14" s="8"/>
      <c r="J14" s="8"/>
      <c r="K14" s="8"/>
      <c r="L14" s="8"/>
      <c r="M14" s="12" t="str">
        <f aca="false">IF(COUNT(F14:L14)&lt;7,"",ROUND(F14*G14*H14/I14*(0.5+0.5*AVERAGE(J14:K14))*(1-0.5*L14),2))</f>
        <v/>
      </c>
      <c r="N14" s="12" t="str">
        <f aca="false">IF(M14="","",RANK(M14,$M$5:$M$14))</f>
        <v/>
      </c>
      <c r="O14" s="13" t="str">
        <f aca="false">IF(B14="","",IF(OR(D14="",E14=""),"Thiếu",IF(SUMPRODUCT(--ISNUMBER(SEARCH({"0","1","2","3","4","5","6","7","8","9"},E14)))&gt;0,"Có","Thiếu")))</f>
        <v/>
      </c>
      <c r="P14" s="14"/>
      <c r="Q14" s="14"/>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57</v>
      </c>
    </row>
    <row r="2" customFormat="false" ht="15" hidden="false" customHeight="true" outlineLevel="0" collapsed="false">
      <c r="A2" s="3" t="s">
        <v>58</v>
      </c>
    </row>
    <row r="4" customFormat="false" ht="26.25" hidden="false" customHeight="true" outlineLevel="0" collapsed="false">
      <c r="A4" s="10" t="s">
        <v>59</v>
      </c>
      <c r="B4" s="10" t="s">
        <v>60</v>
      </c>
      <c r="C4" s="10" t="s">
        <v>61</v>
      </c>
      <c r="D4" s="10" t="s">
        <v>62</v>
      </c>
      <c r="E4" s="10" t="s">
        <v>63</v>
      </c>
      <c r="F4" s="10" t="s">
        <v>64</v>
      </c>
      <c r="G4" s="10" t="s">
        <v>65</v>
      </c>
      <c r="H4" s="10" t="s">
        <v>66</v>
      </c>
      <c r="I4" s="10" t="s">
        <v>67</v>
      </c>
      <c r="J4" s="10" t="s">
        <v>68</v>
      </c>
      <c r="K4" s="10" t="s">
        <v>69</v>
      </c>
      <c r="L4" s="10" t="s">
        <v>70</v>
      </c>
      <c r="M4" s="10" t="s">
        <v>71</v>
      </c>
    </row>
    <row r="5" customFormat="false" ht="114" hidden="false" customHeight="1" outlineLevel="0" collapsed="false">
      <c r="A5" s="11" t="n">
        <v>0</v>
      </c>
      <c r="B5" s="8" t="s">
        <v>72</v>
      </c>
      <c r="C5" s="8" t="str">
        <v>AI gợi ý điểm theo 4 tiêu chí và nhận xét nháp; không tự trả điểm cho học viên.</v>
      </c>
      <c r="D5" s="8" t="str">
        <v>Giáo viên công ty duyệt 100% bài, sửa điểm/nhận xét; trung tâm giữ quyền chốt điểm.</v>
      </c>
      <c r="E5" s="8" t="str">
        <v>Mốc hiện có: 40 bài/4 tầng; quy thực 82,6% ≥80%, 0 lỗi nặng, kappa 0,80 ≥0,6; còn 1 tầng tụt nên không mở rộng.</v>
      </c>
      <c r="F5" s="8" t="str">
        <v>Bộ 40 bài; ẩn danh, lưu điểm 4 tiêu chí, log phiên bản; minh bạch có AI, phân loại rủi ro trước triển khai.</v>
      </c>
      <c r="G5" s="8" t="str">
        <v>T0–1: đối chứng nội bộ; không mở rộng.</v>
      </c>
      <c r="H5" s="15" t="n">
        <v>1</v>
      </c>
      <c r="I5" s="14" t="s">
        <v>73</v>
      </c>
      <c r="J5" s="16" t="n">
        <f aca="false">IF(H5="","",$B$12+$B$13+IF(I5="Người của mình",H5*$B$14*$B$15/60,0))</f>
        <v>7019</v>
      </c>
      <c r="K5" s="17" t="n">
        <f aca="false">IF(J5="","",IFERROR(($B$16-$B$17*J5)/$B$16,""))</f>
        <v>-0.3472168905950096</v>
      </c>
      <c r="L5" s="18" t="str">
        <f aca="false">IF(K5="","",IF(K5&gt;=0.6,"Đạt","Dưới ngưỡng"))</f>
        <v>Dưới ngưỡng</v>
      </c>
    </row>
    <row r="6" customFormat="false" ht="114" hidden="false" customHeight="1" outlineLevel="0" collapsed="false">
      <c r="A6" s="11" t="n">
        <v>1</v>
      </c>
      <c r="B6" s="8" t="s">
        <v>74</v>
      </c>
      <c r="C6" s="8" t="str">
        <v>Chỉ AI chấm bài Thường; bài Khó và điểm 5,0–6,5 chuyển giáo viên; không tự công bố điểm rủi ro.</v>
      </c>
      <c r="D6" s="8" t="str">
        <v>Giáo viên công ty duyệt khoảng 30% bài/cờ; giáo viên trung tâm xử lý ca khó và khiếu nại.</v>
      </c>
      <c r="E6" s="8" t="str">
        <v>Cổng pilot giới hạn: bộ 40 bài/4 tầng đã đạt 82,6% ≥80%, 0 lỗi nặng, kappa 0,80; 1 tầng tụt =&gt; chỉ bài Thường.</v>
      </c>
      <c r="F6" s="8" t="str">
        <v>Luật định tuyến 5,0–6,5; pilot tối đa 200 bài/tuần. Cô Lan chấm đôi 2%=4 bài/tuần (~1,42 giờ ≤2 giờ).</v>
      </c>
      <c r="G6" s="8" t="str">
        <v>T0–3: giữ mức 1, pilot tối đa 200 bài/tuần.</v>
      </c>
      <c r="H6" s="15" t="n">
        <v>0.3</v>
      </c>
      <c r="I6" s="14" t="s">
        <v>73</v>
      </c>
      <c r="J6" s="16" t="n">
        <f aca="false">IF(H6="","",$B$12+$B$13+IF(I6="Người của mình",H6*$B$14*$B$15/60,0))</f>
        <v>2819</v>
      </c>
      <c r="K6" s="17" t="n">
        <f aca="false">IF(J6="","",IFERROR(($B$16-$B$17*J6)/$B$16,""))</f>
        <v>0.45892514395393474</v>
      </c>
      <c r="L6" s="18" t="str">
        <f aca="false">IF(K6="","",IF(K6&gt;=0.6,"Đạt","Dưới ngưỡng"))</f>
        <v>Dưới ngưỡng</v>
      </c>
      <c r="M6" s="18" t="str">
        <f aca="false">IF(E6="","",IF(SUMPRODUCT(--ISNUMBER(SEARCH({"0","1","2","3","4","5","6","7","8","9"},E6)))&gt;0,"Có","Thiếu"))</f>
        <v>Có</v>
      </c>
    </row>
    <row r="7" customFormat="false" ht="114" hidden="false" customHeight="1" outlineLevel="0" collapsed="false">
      <c r="A7" s="11" t="n">
        <v>2</v>
      </c>
      <c r="B7" s="8" t="s">
        <v>75</v>
      </c>
      <c r="C7" s="8" t="str">
        <v>Tự trả điểm cho bài Thường độ tin cậy cao; ca Khó, 5,0–6,5, thiếu dữ kiện vẫn chuyển người.</v>
      </c>
      <c r="D7" s="8" t="str">
        <v>Giáo viên công ty duyệt mục tiêu 15% tổng bài qua cờ + lấy mẫu; giáo viên trung tâm xử lý ngoại lệ.</v>
      </c>
      <c r="E7" s="8" t="str">
        <v>Trước M2: chấm lại 40 bài/4 tầng; quy thực ≥82,6%, 0 lỗi nặng, 0 tầng tụt, kappa ≥0,80; pilot ≥200 bài/tuần trong 4 tuần, 0 lệch &gt;1 điểm khi đối chiếu.</v>
      </c>
      <c r="F7" s="8" t="str">
        <v>Sửa lỗi tầng Khó trước, log giải thích 4 tiêu chí; đánh giá 14,2 giờ chuyên gia chia ≥4 tuần; kiểm soát dữ liệu và thông báo AI.</v>
      </c>
      <c r="G7" s="8" t="str">
        <v>T3–6: chỉ lên M2 nếu qua cổng và duyệt thực tế ≤17,75%.</v>
      </c>
      <c r="H7" s="15" t="n">
        <v>0.15</v>
      </c>
      <c r="I7" s="14" t="s">
        <v>73</v>
      </c>
      <c r="J7" s="16" t="n">
        <f aca="false">IF(H7="","",$B$12+$B$13+IF(I7="Người của mình",H7*$B$14*$B$15/60,0))</f>
        <v>1919</v>
      </c>
      <c r="K7" s="17" t="n">
        <f aca="false">IF(J7="","",IFERROR(($B$16-$B$17*J7)/$B$16,""))</f>
        <v>0.6316698656429942</v>
      </c>
      <c r="L7" s="18" t="str">
        <f aca="false">IF(K7="","",IF(K7&gt;=0.6,"Đạt","Dưới ngưỡng"))</f>
        <v>Đạt</v>
      </c>
      <c r="M7" s="18" t="str">
        <f aca="false">IF(E7="","",IF(SUMPRODUCT(--ISNUMBER(SEARCH({"0","1","2","3","4","5","6","7","8","9"},E7)))&gt;0,"Có","Thiếu"))</f>
        <v>Có</v>
      </c>
    </row>
    <row r="8" customFormat="false" ht="114" hidden="false" customHeight="1" outlineLevel="0" collapsed="false">
      <c r="A8" s="11" t="n">
        <v>3</v>
      </c>
      <c r="B8" s="8" t="s">
        <v>76</v>
      </c>
      <c r="C8" s="8" t="str">
        <v>Mở rộng tự trả điểm bài Thường đủ chứng cứ; Khó/vùng 5,0–6,5 vẫn phải chuyển giáo viên.</v>
      </c>
      <c r="D8" s="8" t="str">
        <v>Giáo viên công ty duyệt mục tiêu 10% bài và rà bất thường; cô Lan duy trì chấm đôi 2% pilot.</v>
      </c>
      <c r="E8" s="8" t="str">
        <v>Trước M3: 40 bài/4 tầng: ≥70% lệch ≤0,5 điểm, 0 lệch &gt;1, 0 lỗi nặng, 0 tầng tụt, kappa ≥0,80; theo dõi ≥1.600 bài/8 tuần không có sự cố nghiêm trọng.</v>
      </c>
      <c r="F8" s="8" t="str">
        <v>Giám sát phiên bản + rollback; log/chấm đôi 2% (200 bài/tuần → 4 bài/tuần); duyệt pháp chế và bảo mật học viên.</v>
      </c>
      <c r="G8" s="8" t="str">
        <v>T6–12: chỉ mở theo từng trung tâm nếu đạt cổng.</v>
      </c>
      <c r="H8" s="15" t="n">
        <v>0.1</v>
      </c>
      <c r="I8" s="14" t="s">
        <v>73</v>
      </c>
      <c r="J8" s="16" t="n">
        <f aca="false">IF(H8="","",$B$12+$B$13+IF(I8="Người của mình",H8*$B$14*$B$15/60,0))</f>
        <v>1619</v>
      </c>
      <c r="K8" s="17" t="n">
        <f aca="false">IF(J8="","",IFERROR(($B$16-$B$17*J8)/$B$16,""))</f>
        <v>0.6892514395393474</v>
      </c>
      <c r="L8" s="18" t="str">
        <f aca="false">IF(K8="","",IF(K8&gt;=0.6,"Đạt","Dưới ngưỡng"))</f>
        <v>Đạt</v>
      </c>
      <c r="M8" s="18" t="str">
        <f aca="false">IF(E8="","",IF(SUMPRODUCT(--ISNUMBER(SEARCH({"0","1","2","3","4","5","6","7","8","9"},E8)))&gt;0,"Có","Thiếu"))</f>
        <v>Có</v>
      </c>
    </row>
    <row r="11" customFormat="false" ht="15" hidden="false" customHeight="true" outlineLevel="0" collapsed="false">
      <c r="A11" s="9" t="s">
        <v>77</v>
      </c>
    </row>
    <row r="12" customFormat="false" ht="15" hidden="false" customHeight="true" outlineLevel="0" collapsed="false">
      <c r="A12" s="19" t="s">
        <v>78</v>
      </c>
      <c r="B12" s="20" t="n">
        <v>769</v>
      </c>
      <c r="C12" s="21" t="s">
        <v>79</v>
      </c>
    </row>
    <row r="13" customFormat="false" ht="15" hidden="false" customHeight="true" outlineLevel="0" collapsed="false">
      <c r="A13" s="19" t="s">
        <v>80</v>
      </c>
      <c r="B13" s="20" t="n">
        <v>250</v>
      </c>
      <c r="C13" s="21" t="s">
        <v>81</v>
      </c>
    </row>
    <row r="14" customFormat="false" ht="15" hidden="false" customHeight="true" outlineLevel="0" collapsed="false">
      <c r="A14" s="19" t="s">
        <v>82</v>
      </c>
      <c r="B14" s="22" t="n">
        <v>3</v>
      </c>
      <c r="C14" s="21" t="s">
        <v>83</v>
      </c>
    </row>
    <row r="15" customFormat="false" ht="15" hidden="false" customHeight="true" outlineLevel="0" collapsed="false">
      <c r="A15" s="19" t="s">
        <v>84</v>
      </c>
      <c r="B15" s="20" t="n">
        <v>120000</v>
      </c>
      <c r="C15" s="21" t="s">
        <v>85</v>
      </c>
    </row>
    <row r="16" customFormat="false" ht="15" hidden="false" customHeight="true" outlineLevel="0" collapsed="false">
      <c r="A16" s="19" t="s">
        <v>86</v>
      </c>
      <c r="B16" s="20" t="n">
        <v>5210000</v>
      </c>
      <c r="C16" s="21" t="s">
        <v>87</v>
      </c>
    </row>
    <row r="17" customFormat="false" ht="15" hidden="false" customHeight="true" outlineLevel="0" collapsed="false">
      <c r="A17" s="19" t="s">
        <v>88</v>
      </c>
      <c r="B17" s="20" t="n">
        <v>1000</v>
      </c>
      <c r="C17" s="21" t="s">
        <v>89</v>
      </c>
    </row>
    <row r="18" customFormat="false" ht="15" hidden="false" customHeight="true" outlineLevel="0" collapsed="false">
      <c r="A18" s="19" t="s">
        <v>90</v>
      </c>
      <c r="B18" s="14" t="s">
        <v>91</v>
      </c>
      <c r="C18" s="21" t="s">
        <v>92</v>
      </c>
    </row>
    <row r="19" customFormat="false" ht="15" hidden="false" customHeight="true" outlineLevel="0" collapsed="false">
      <c r="A19" s="19" t="s">
        <v>93</v>
      </c>
      <c r="B19" s="14" t="s">
        <v>94</v>
      </c>
      <c r="C19" s="21" t="s">
        <v>95</v>
      </c>
    </row>
    <row r="20" customFormat="false" ht="15" hidden="false" customHeight="true" outlineLevel="0" collapsed="false">
      <c r="A20" s="19" t="s">
        <v>96</v>
      </c>
      <c r="B20" s="23" t="n">
        <v>17</v>
      </c>
      <c r="C20" s="21" t="s">
        <v>97</v>
      </c>
    </row>
    <row r="22" customFormat="false" ht="15" hidden="false" customHeight="true" outlineLevel="0" collapsed="false">
      <c r="A22" s="21" t="s">
        <v>98</v>
      </c>
    </row>
    <row r="23" customFormat="false" ht="15" hidden="false" customHeight="true" outlineLevel="0" collapsed="false">
      <c r="A23" s="21"/>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10" t="s">
        <v>101</v>
      </c>
      <c r="B4" s="10" t="s">
        <v>102</v>
      </c>
      <c r="C4" s="10" t="s">
        <v>103</v>
      </c>
      <c r="D4" s="10" t="s">
        <v>104</v>
      </c>
    </row>
    <row r="5" customFormat="false" ht="90" hidden="false" customHeight="1" outlineLevel="0" collapsed="false">
      <c r="A5" s="24" t="s">
        <v>105</v>
      </c>
      <c r="B5" s="8" t="str">
        <v>Chặn bài Khó/vùng 5,0–6,5; sửa tầng Khó đang tụt; chấm 4 tiêu chí cho bài Thường ở pilot 200 bài/tuần.</v>
      </c>
      <c r="C5" s="8" t="str">
        <v>Mở tự trả điểm bài Thường sau cổng; triển khai chứng cứ điểm/nhận xét trích câu; tích hợp công cụ sửa ngữ pháp có sẵn.</v>
      </c>
      <c r="D5" s="8" t="str">
        <v>Mở từng trung tâm có giám sát; tạo đề bằng công cụ sẵn có; thử báo cáo tiến bộ sau khi đủ ≥3 tháng dữ liệu.</v>
      </c>
    </row>
    <row r="6" customFormat="false" ht="90" hidden="false" customHeight="1" outlineLevel="0" collapsed="false">
      <c r="A6" s="24" t="s">
        <v>106</v>
      </c>
      <c r="B6" s="8" t="str">
        <v>Ta tin xử lý bài ranh giới bằng người và sửa tầng Khó sẽ giúp AI an toàn hơn; đo bằng 0 ca tự chốt sai và 0 tầng tụt.</v>
      </c>
      <c r="C6" s="8" t="str">
        <v>Ta tin giảm duyệt trả phí 30%→15% mà vẫn giữ chặn ca khó sẽ đạt biên ≥60%, không tăng sai lệch điểm.</v>
      </c>
      <c r="D6" s="8" t="str">
        <v>Ta tin nâng tự động lên 10% duyệt và phản hồi giải thích được sẽ giúp mở rộng mà không tăng khiếu nại.</v>
      </c>
    </row>
    <row r="7" customFormat="false" ht="90" hidden="false" customHeight="1" outlineLevel="0" collapsed="false">
      <c r="A7" s="24" t="s">
        <v>44</v>
      </c>
      <c r="B7" s="8" t="str">
        <v>Trên 40 bài: quy thực ≥82,6%, 0 lỗi nặng, 0 tầng tụt, kappa ≥0,80; trên ≥200 bài: 100% ca Khó/5,0–6,5 chuyển GV.</v>
      </c>
      <c r="C7" s="8" t="str">
        <v>≥200 bài/tuần ×4 tuần; 0 bài đối chiếu lệch &gt;1; ≥70% lệch ≤0,5; duyệt công ty ≤15%; biên ≥60%.</v>
      </c>
      <c r="D7" s="8" t="str">
        <v>≥1.600 bài/8 tuần; 40 bài kiểm định có ≥70% lệch ≤0,5, 0 lệch &gt;1; duyệt công ty ≤10%; biên ≥60%.</v>
      </c>
    </row>
    <row r="8" customFormat="false" ht="90" hidden="false" customHeight="1" outlineLevel="0" collapsed="false">
      <c r="A8" s="24" t="s">
        <v>107</v>
      </c>
      <c r="B8" s="8" t="str">
        <v>Mức 1: hỗ trợ có duyệt, bài Thường; 30% bài có giáo viên công ty duyệt. Mức 0 dùng khi rollback.</v>
      </c>
      <c r="C8" s="8" t="str">
        <v>Mức 2: tự động một phần chỉ bài Thường đạt cổng; 15% bài có giáo viên công ty duyệt.</v>
      </c>
      <c r="D8" s="8" t="str">
        <v>Mức 3 có giám sát: 10% bài được giáo viên công ty duyệt; ca Khó/ranh giới vẫn bắt buộc chuyển người.</v>
      </c>
    </row>
    <row r="9" customFormat="false" ht="90" hidden="false" customHeight="1" outlineLevel="0" collapsed="false">
      <c r="A9" s="24" t="s">
        <v>108</v>
      </c>
      <c r="B9" s="8" t="str">
        <v>Bản 2 hiện 82,6%/40 bài, 0 lỗi nặng, kappa 0,80 nhưng tụt 1 tầng → chỉ phát hành giới hạn; sửa rồi chạy lại cả 40.</v>
      </c>
      <c r="C9" s="8" t="str">
        <v>Lên M2 sau khi 40 ca/4 tầng không làm tụt tầng nào, kappa ≥0,80, quy thực ≥82,6%, 0 lệch &gt;1 ở pilot 4 tuần.</v>
      </c>
      <c r="D9" s="8" t="str">
        <v>Lên M3 chỉ khi 40 ca/4 tầng qua cổng, ≥1.600 bài/8 tuần ổn định; chưa qua thì giữ M2, không lên theo lịch.</v>
      </c>
    </row>
    <row r="10" customFormat="false" ht="90" hidden="false" customHeight="1" outlineLevel="0" collapsed="false">
      <c r="A10" s="24" t="s">
        <v>109</v>
      </c>
      <c r="B10" s="8" t="str">
        <v>Cô Lan 2h/tuần, thầy Khoa 2h/tuần; bộ 40 bài cần 14,2h/≥4 tuần. Ẩn danh, chấm đôi 2% pilot, thông báo có AI.</v>
      </c>
      <c r="C10" s="8" t="str">
        <v>Cần log điểm 4 tiêu chí/phiên bản, phân luồng ranh giới, 40 ca hồi quy, giáo viên công ty trả phí; phân quyền dữ liệu.</v>
      </c>
      <c r="D10" s="8" t="str">
        <v>Chờ ≥3 tháng dữ liệu điểm nhiều kỳ; chuẩn hoá hợp đồng với đối tác, log/audit, kiểm soát quyền, quy trình rollback.</v>
      </c>
    </row>
    <row r="11" customFormat="false" ht="90" hidden="false" customHeight="1" outlineLevel="0" collapsed="false">
      <c r="A11" s="24" t="s">
        <v>110</v>
      </c>
      <c r="B11" s="8" t="str">
        <v>Giá thuần 5.210đ/bài (5,21 triệu/1.000 bài, đã trừ 20% đối tác). M1 duyệt 30%: 2.819đ/bài; biên 45,9% → chỉ pilot.</v>
      </c>
      <c r="C11" s="8" t="str">
        <v>Chi phí AI+khác 1.019đ/bài; M2 duyệt 15%: 1.919đ/bài, biên 63,2%, vượt yêu cầu 60% (giả định).</v>
      </c>
      <c r="D11" s="8" t="str">
        <v>M3 duyệt 10%: 1.619đ/bài, biên 68,9% (giả định); 55% doanh thu từ 25% trung tâm lớn, phải đo tập trung.</v>
      </c>
    </row>
    <row r="12" customFormat="false" ht="90" hidden="false" customHeight="1" outlineLevel="0" collapsed="false">
      <c r="A12" s="24" t="s">
        <v>111</v>
      </c>
      <c r="B12" s="8" t="str">
        <v>Dừng mở pilot nếu ≥1 bài Khó bị tự chốt hoặc ≥1 lệch &gt;1 điểm; không tăng mức nếu 1 tầng tụt trong 40 bài.</v>
      </c>
      <c r="C12" s="8" t="str">
        <v>Không lên M2 nếu 1 lệch &gt;1 hoặc biên &lt;60%. Khi có ≥15 trung tâm, nếu doanh thu sau chia &lt;3,95 triệu/TT/tháng 2 tháng liên tiếp → dừng mở rộng.</v>
      </c>
      <c r="D12" s="8" t="str">
        <v>Rollback về M1/M2 nếu ≥1 sai lệch &gt;1; áp dụng ngưỡng &lt;3,95 triệu/TT/tháng 2 tháng ở ≥15 TT; đổi hướng báo cáo nếu dữ liệu chưa đủ.</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112</v>
      </c>
    </row>
    <row r="2" customFormat="false" ht="15" hidden="false" customHeight="true" outlineLevel="0" collapsed="false">
      <c r="A2" s="3" t="s">
        <v>113</v>
      </c>
    </row>
    <row r="4" customFormat="false" ht="15" hidden="false" customHeight="true" outlineLevel="0" collapsed="false">
      <c r="A4" s="10" t="s">
        <v>114</v>
      </c>
      <c r="B4" s="10" t="s">
        <v>115</v>
      </c>
      <c r="C4" s="10" t="s">
        <v>116</v>
      </c>
      <c r="D4" s="10" t="s">
        <v>117</v>
      </c>
    </row>
    <row r="5" customFormat="false" ht="80" hidden="false" customHeight="1" outlineLevel="0" collapsed="false">
      <c r="A5" s="8" t="s">
        <v>118</v>
      </c>
      <c r="B5" s="8" t="str">
        <v>40 bài/4 tầng (tầng Khó còn tụt?); ≥200 bài pilot; % chuyển 5,0–6,5; 2% bài cô Lan chấm đôi.</v>
      </c>
      <c r="C5" s="8" t="str">
        <v>Giữ M1 nếu vẫn tụt tầng; sửa rồi chạy lại 40 ca; dừng ngay nếu 1 ca lệch &gt;1; chưa cho mở rộng.</v>
      </c>
      <c r="D5" s="8" t="str">
        <v>Cô Lan + thầy Khoa duyệt chất lượng; PM quyết phạm vi pilot.</v>
      </c>
    </row>
    <row r="6" customFormat="false" ht="80" hidden="false" customHeight="1" outlineLevel="0" collapsed="false">
      <c r="A6" s="8" t="s">
        <v>119</v>
      </c>
      <c r="B6" s="8" t="str">
        <v>40 bài hồi quy, kappa, 0 lỗi nặng; ≥4 tuần ×200 bài; % công ty duyệt và biên theo J/K trang 2.</v>
      </c>
      <c r="C6" s="8" t="str">
        <v>Qua đủ cổng và biên ≥60% thì chuẩn bị M2; chưa qua thì sửa, tiếp tục M1 giới hạn.</v>
      </c>
      <c r="D6" s="8" t="str">
        <v>Cô Lan duyệt chất lượng; Product Lead + tài chính duyệt chi phí.</v>
      </c>
    </row>
    <row r="7" customFormat="false" ht="80" hidden="false" customHeight="1" outlineLevel="0" collapsed="false">
      <c r="A7" s="8" t="s">
        <v>120</v>
      </c>
      <c r="B7" s="8" t="str">
        <v>≥70% lệch ≤0,5; 0 ca &gt;1; 0 tầng tụt/40; biên M2 dự kiến 63,2%; dữ liệu điểm tích luỹ ≥3 tháng?</v>
      </c>
      <c r="C7" s="8" t="str">
        <v>Chọn đi tiếp M2 / sửa / đổi hướng / dừng; chưa dùng LTV thật vì mới 3 tháng.</v>
      </c>
      <c r="D7" s="8" t="str">
        <v>Ban lãnh đạo + cô Lan + tài chính, có biên bản mốc 90 ngày.</v>
      </c>
    </row>
    <row r="8" customFormat="false" ht="80" hidden="false" customHeight="1" outlineLevel="0" collapsed="false">
      <c r="A8" s="8" t="s">
        <v>121</v>
      </c>
      <c r="B8" s="8" t="str">
        <v>A/B ít nhất 40 bài/4 tầng: điểm chấm, tầng tụt, đồng/bài, kappa.</v>
      </c>
      <c r="C8" s="8" t="str">
        <v>Chỉ đổi nếu 0 lỗi nặng, 0 tầng tụt, ≥82,6% quy thực và chi phí giảm ≥15%; nếu không giữ mô hình cũ.</v>
      </c>
      <c r="D8" s="8" t="str">
        <v>ML Engineer + cô Lan + Product Lead.</v>
      </c>
    </row>
    <row r="9" customFormat="false" ht="80" hidden="false" customHeight="1" outlineLevel="0" collapsed="false">
      <c r="A9" s="8" t="s">
        <v>122</v>
      </c>
      <c r="B9" s="8" t="str">
        <v>Tỷ lệ gia hạn, số khiếu nại, 55% doanh thu lệ thuộc 25% trung tâm lớn.</v>
      </c>
      <c r="C9" s="8" t="str">
        <v>Ưu tiên chất lượng/giải thích điểm; tích hợp ngữ pháp/tạo đề sẵn có thay vì tự xây; rà lại doanh thu mỗi tháng.</v>
      </c>
      <c r="D9" s="8" t="str">
        <v>Product Lead + kinh doanh + quản lý đối tác.</v>
      </c>
    </row>
    <row r="10" customFormat="false" ht="80" hidden="false" customHeight="1" outlineLevel="0" collapsed="false">
      <c r="A10" s="8" t="s">
        <v>123</v>
      </c>
      <c r="B10" s="8" t="str">
        <v>Thông báo có AI, phân loại rủi ro, quyền đối với bài viết và dữ liệu điểm.</v>
      </c>
      <c r="C10" s="8" t="str">
        <v>Tạm ngừng phần không tuân thủ; cập nhật quy trình, rà pháp chế và kiểm lại 40 bài trước khi mở tiếp.</v>
      </c>
      <c r="D10" s="8" t="str">
        <v>Pháp chế/phụ trách dữ liệu + Product Lead + đại diện trung tâm.</v>
      </c>
    </row>
    <row r="12" customFormat="false" ht="15" hidden="false" customHeight="true" outlineLevel="0" collapsed="false">
      <c r="A12" s="21" t="s">
        <v>124</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125</v>
      </c>
    </row>
    <row r="2" customFormat="false" ht="15" hidden="false" customHeight="true" outlineLevel="0" collapsed="false">
      <c r="A2" s="3" t="s">
        <v>126</v>
      </c>
    </row>
    <row r="3" customFormat="false" ht="15" hidden="false" customHeight="true" outlineLevel="0" collapsed="false">
      <c r="C3" s="25" t="s">
        <v>127</v>
      </c>
      <c r="D3" s="25" t="s">
        <v>128</v>
      </c>
    </row>
    <row r="4" customFormat="false" ht="76" hidden="false" customHeight="1" outlineLevel="0" collapsed="false">
      <c r="A4" s="25" t="s">
        <v>129</v>
      </c>
      <c r="B4" s="8" t="str">
        <v>Giữ ChấmNhanh bản 2 ở Mức 1 trong 0–3 tháng: chỉ bài Thường, ca 5,0–6,5 chuyển giáo viên. Sửa 1 tầng Khó bị tụt; ngày 90 chỉ xét Mức 2 khi 40 bài/4 tầng đạt 0 lỗi nặng và 0 tầng tụt.</v>
      </c>
      <c r="C4" s="26" t="n">
        <f aca="false">IF(TRIM(B4)="",0,LEN(TRIM(B4))-LEN(SUBSTITUTE(TRIM(B4)," ",""))+1)</f>
        <v>42</v>
      </c>
      <c r="D4" s="18" t="str">
        <f aca="false">IF(C4=0,"Trống",IF(C4&gt;60,"Quá 60 chữ","Đạt"))</f>
        <v>Đạt</v>
      </c>
    </row>
    <row r="5" customFormat="false" ht="76" hidden="false" customHeight="1" outlineLevel="0" collapsed="false">
      <c r="A5" s="25" t="s">
        <v>130</v>
      </c>
      <c r="B5" s="8" t="str">
        <v>1) Chặn bài Khó/ranh giới, thử ≤200 bài/tuần. 2) Sửa và kiểm lại 40 ca, kappa ≥0,80, 0 tầng tụt. 3) Đối chiếu sai lệch điểm, lưu 4 tiêu chí và chứng cứ phản hồi; mỗi cổng đều có mẫu và ngưỡng.</v>
      </c>
      <c r="C5" s="26" t="n">
        <f aca="false">IF(TRIM(B5)="",0,LEN(TRIM(B5))-LEN(SUBSTITUTE(TRIM(B5)," ",""))+1)</f>
        <v>42</v>
      </c>
      <c r="D5" s="18" t="str">
        <f aca="false">IF(C5=0,"Trống",IF(C5&gt;60,"Quá 60 chữ","Đạt"))</f>
        <v>Đạt</v>
      </c>
    </row>
    <row r="6" customFormat="false" ht="76" hidden="false" customHeight="1" outlineLevel="0" collapsed="false">
      <c r="A6" s="25" t="s">
        <v>131</v>
      </c>
      <c r="B6" s="8" t="str">
        <v>Cô Lan và thầy Khoa mỗi người ≤2 giờ/tuần; cần ≥4 tuần cho 14,2 giờ chấm 40 bài. Giáo viên công ty duyệt trả phí. Chi phí nền 1.019đ/bài; mục tiêu Mức 2 duyệt 15% để biên đạt 63,2%.</v>
      </c>
      <c r="C6" s="26" t="n">
        <f aca="false">IF(TRIM(B6)="",0,LEN(TRIM(B6))-LEN(SUBSTITUTE(TRIM(B6)," ",""))+1)</f>
        <v>39</v>
      </c>
      <c r="D6" s="18" t="str">
        <f aca="false">IF(C6=0,"Trống",IF(C6&gt;60,"Quá 60 chữ","Đạt"))</f>
        <v>Đạt</v>
      </c>
    </row>
    <row r="7" customFormat="false" ht="76" hidden="false" customHeight="1" outlineLevel="0" collapsed="false">
      <c r="A7" s="25" t="s">
        <v>132</v>
      </c>
      <c r="B7" s="8" t="str">
        <v>Rủi ro lớn: lệch điểm &gt;1 và 1 tầng Khó đang tụt; phải chuyển bài 5,0–6,5 cho giáo viên và có rollback. Doanh thu tập trung: 55% từ 25% trung tâm lớn. Không mở rộng nếu vi phạm cổng.</v>
      </c>
      <c r="C7" s="26" t="n">
        <f aca="false">IF(TRIM(B7)="",0,LEN(TRIM(B7))-LEN(SUBSTITUTE(TRIM(B7)," ",""))+1)</f>
        <v>39</v>
      </c>
      <c r="D7" s="18" t="str">
        <f aca="false">IF(C7=0,"Trống",IF(C7&gt;60,"Quá 60 chữ","Đạt"))</f>
        <v>Đạt</v>
      </c>
    </row>
    <row r="8" customFormat="false" ht="76" hidden="false" customHeight="1" outlineLevel="0" collapsed="false">
      <c r="A8" s="25" t="s">
        <v>133</v>
      </c>
      <c r="B8" s="8" t="str">
        <v>Rà ngày 30/60/90 và khi mô hình, đối thủ hoặc luật đổi. Dừng mở rộng nếu doanh thu sau chia &lt;3,95 triệu/trung tâm/tháng trong 2 tháng liên tiếp, đo trên ≥15 trung tâm. Mức 3 chỉ cân nhắc tháng 6–12.</v>
      </c>
      <c r="C8" s="26" t="n">
        <f aca="false">IF(TRIM(B8)="",0,LEN(TRIM(B8))-LEN(SUBSTITUTE(TRIM(B8)," ",""))+1)</f>
        <v>40</v>
      </c>
      <c r="D8" s="18" t="str">
        <f aca="false">IF(C8=0,"Trống",IF(C8&gt;60,"Quá 60 chữ","Đạt"))</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134</v>
      </c>
    </row>
    <row r="2" customFormat="false" ht="15" hidden="false" customHeight="true" outlineLevel="0" collapsed="false">
      <c r="A2" s="3" t="s">
        <v>135</v>
      </c>
    </row>
    <row r="4" customFormat="false" ht="15" hidden="false" customHeight="true" outlineLevel="0" collapsed="false">
      <c r="A4" s="10" t="s">
        <v>136</v>
      </c>
      <c r="B4" s="10" t="s">
        <v>137</v>
      </c>
      <c r="C4" s="10" t="s">
        <v>128</v>
      </c>
    </row>
    <row r="5" customFormat="false" ht="15" hidden="false" customHeight="true" outlineLevel="0" collapsed="false">
      <c r="A5" s="11" t="s">
        <v>138</v>
      </c>
      <c r="B5" s="12" t="n">
        <f aca="false">COUNT('1_Danh sách việc'!M5:M14)</f>
        <v>8</v>
      </c>
      <c r="C5" s="12" t="str">
        <f aca="false">IF(B5&gt;=5,"Đạt","Xem lại")</f>
        <v>Đạt</v>
      </c>
    </row>
    <row r="6" customFormat="false" ht="15" hidden="false" customHeight="true" outlineLevel="0" collapsed="false">
      <c r="A6" s="11" t="s">
        <v>139</v>
      </c>
      <c r="B6" s="12" t="n">
        <f aca="false">COUNTIFS('1_Danh sách việc'!O5:O14,"Thiếu",'1_Danh sách việc'!P5:P14,"&lt;&gt;Không làm")</f>
        <v>0</v>
      </c>
      <c r="C6" s="12" t="str">
        <f aca="false">IF(B5=0,"",IF(B6=0,"Đạt","Xem lại"))</f>
        <v>Đạt</v>
      </c>
    </row>
    <row r="7" customFormat="false" ht="15" hidden="false" customHeight="true" outlineLevel="0" collapsed="false">
      <c r="A7" s="11" t="s">
        <v>140</v>
      </c>
      <c r="B7" s="12" t="n">
        <f aca="false">COUNTIF('2_Mức tự động'!M6:M8,"Có")</f>
        <v>3</v>
      </c>
      <c r="C7" s="12" t="str">
        <f aca="false">IF(B7&gt;=2,"Đạt","Xem lại")</f>
        <v>Đạt</v>
      </c>
    </row>
    <row r="8" customFormat="false" ht="15" hidden="false" customHeight="true" outlineLevel="0" collapsed="false">
      <c r="A8" s="11" t="s">
        <v>141</v>
      </c>
      <c r="B8" s="12" t="n">
        <f aca="false">COUNTA('3_Bảng lộ trình'!B5:B12)</f>
        <v>8</v>
      </c>
      <c r="C8" s="12" t="str">
        <f aca="false">IF(B8=8,"Đạt","Xem lại")</f>
        <v>Đạt</v>
      </c>
    </row>
    <row r="9" customFormat="false" ht="15" hidden="false" customHeight="true" outlineLevel="0" collapsed="false">
      <c r="A9" s="11" t="s">
        <v>142</v>
      </c>
      <c r="B9" s="12" t="str">
        <f aca="false">IF(AND(LEN('3_Bảng lộ trình'!B12)&gt;10,SUMPRODUCT(--ISNUMBER(SEARCH({"0","1","2","3","4","5","6","7","8","9"},'3_Bảng lộ trình'!B12)))&gt;0),"Có","Chưa")</f>
        <v>Có</v>
      </c>
      <c r="C9" s="12" t="str">
        <f aca="false">IF(B9="Có","Đạt","Xem lại")</f>
        <v>Đạt</v>
      </c>
    </row>
    <row r="10" customFormat="false" ht="15" hidden="false" customHeight="true" outlineLevel="0" collapsed="false">
      <c r="A10" s="11" t="s">
        <v>143</v>
      </c>
      <c r="B10" s="12" t="str">
        <f aca="false">IF(AND(LEN('3_Bảng lộ trình'!B11)&gt;10,SUMPRODUCT(--ISNUMBER(SEARCH({"0","1","2","3","4","5","6","7","8","9"},'3_Bảng lộ trình'!B11)))&gt;0),"Có","Chưa")</f>
        <v>Có</v>
      </c>
      <c r="C10" s="12" t="str">
        <f aca="false">IF(B10="Có","Đạt","Xem lại")</f>
        <v>Đạt</v>
      </c>
    </row>
    <row r="11" customFormat="false" ht="15" hidden="false" customHeight="true" outlineLevel="0" collapsed="false">
      <c r="A11" s="11" t="s">
        <v>144</v>
      </c>
      <c r="B11" s="12" t="n">
        <f aca="false">COUNTIF('5_Slide lãnh đạo'!D4:D8,"Đạt")</f>
        <v>5</v>
      </c>
      <c r="C11" s="12" t="str">
        <f aca="false">IF(B11=5,"Đạt","Xem lại")</f>
        <v>Đạt</v>
      </c>
    </row>
    <row r="12" customFormat="false" ht="15" hidden="false" customHeight="true" outlineLevel="0" collapsed="false">
      <c r="A12" s="11" t="s">
        <v>145</v>
      </c>
      <c r="B12" s="12" t="n">
        <f aca="false">COUNTIF('2_Mức tự động'!L5:L8,"Đạt")</f>
        <v>2</v>
      </c>
      <c r="C12" s="12" t="str">
        <f aca="false">IF(B12&gt;=1,"Đạt","Xem lại")</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146</v>
      </c>
    </row>
    <row r="2" customFormat="false" ht="15" hidden="false" customHeight="true" outlineLevel="0" collapsed="false">
      <c r="A2" s="3"/>
    </row>
    <row r="4" customFormat="false" ht="15" hidden="false" customHeight="true" outlineLevel="0" collapsed="false">
      <c r="A4" s="10" t="s">
        <v>147</v>
      </c>
      <c r="B4" s="10" t="s">
        <v>148</v>
      </c>
      <c r="C4" s="10" t="s">
        <v>149</v>
      </c>
      <c r="D4" s="10" t="s">
        <v>150</v>
      </c>
    </row>
    <row r="5" customFormat="false" ht="15" hidden="false" customHeight="true" outlineLevel="0" collapsed="false">
      <c r="A5" s="11" t="s">
        <v>151</v>
      </c>
      <c r="B5" s="1" t="n">
        <v>20</v>
      </c>
      <c r="C5" s="27" t="s">
        <v>152</v>
      </c>
      <c r="D5" s="28"/>
    </row>
    <row r="6" customFormat="false" ht="15" hidden="false" customHeight="true" outlineLevel="0" collapsed="false">
      <c r="A6" s="11" t="s">
        <v>153</v>
      </c>
      <c r="B6" s="1" t="n">
        <v>20</v>
      </c>
      <c r="C6" s="27" t="s">
        <v>154</v>
      </c>
      <c r="D6" s="28"/>
    </row>
    <row r="7" customFormat="false" ht="15" hidden="false" customHeight="true" outlineLevel="0" collapsed="false">
      <c r="A7" s="11" t="s">
        <v>155</v>
      </c>
      <c r="B7" s="1" t="n">
        <v>25</v>
      </c>
      <c r="C7" s="27" t="s">
        <v>156</v>
      </c>
      <c r="D7" s="28"/>
    </row>
    <row r="8" customFormat="false" ht="15" hidden="false" customHeight="true" outlineLevel="0" collapsed="false">
      <c r="A8" s="11" t="s">
        <v>157</v>
      </c>
      <c r="B8" s="1" t="n">
        <v>15</v>
      </c>
      <c r="C8" s="27" t="s">
        <v>158</v>
      </c>
      <c r="D8" s="28"/>
    </row>
    <row r="9" customFormat="false" ht="15" hidden="false" customHeight="true" outlineLevel="0" collapsed="false">
      <c r="A9" s="11" t="s">
        <v>159</v>
      </c>
      <c r="B9" s="1" t="n">
        <v>20</v>
      </c>
      <c r="C9" s="27" t="s">
        <v>160</v>
      </c>
      <c r="D9" s="28"/>
    </row>
    <row r="10" customFormat="false" ht="15" hidden="false" customHeight="true" outlineLevel="0" collapsed="false">
      <c r="A10" s="9" t="s">
        <v>161</v>
      </c>
      <c r="B10" s="1" t="n">
        <f aca="false">SUM(B5:B9)</f>
        <v>100</v>
      </c>
      <c r="D10" s="12" t="n">
        <f aca="false">SUM(D5:D9)</f>
        <v>0</v>
      </c>
    </row>
    <row r="12" customFormat="false" ht="15" hidden="false" customHeight="true" outlineLevel="0" collapsed="false">
      <c r="A12" s="9"/>
      <c r="D12" s="28"/>
    </row>
    <row r="15" customFormat="false" ht="15" hidden="false" customHeight="true" outlineLevel="0" collapsed="false">
      <c r="A15" s="29" t="s">
        <v>162</v>
      </c>
    </row>
    <row r="16" customFormat="false" ht="15" hidden="false" customHeight="true" outlineLevel="0" collapsed="false">
      <c r="A16" s="10" t="s">
        <v>147</v>
      </c>
      <c r="B16" s="10" t="s">
        <v>163</v>
      </c>
      <c r="C16" s="10" t="s">
        <v>164</v>
      </c>
      <c r="D16" s="10" t="s">
        <v>165</v>
      </c>
    </row>
    <row r="17" customFormat="false" ht="45.75" hidden="false" customHeight="true" outlineLevel="0" collapsed="false">
      <c r="A17" s="30" t="s">
        <v>166</v>
      </c>
      <c r="B17" s="31" t="s">
        <v>167</v>
      </c>
      <c r="C17" s="31" t="s">
        <v>168</v>
      </c>
      <c r="D17" s="31" t="s">
        <v>169</v>
      </c>
    </row>
    <row r="18" customFormat="false" ht="45.75" hidden="false" customHeight="true" outlineLevel="0" collapsed="false">
      <c r="A18" s="30" t="s">
        <v>170</v>
      </c>
      <c r="B18" s="31" t="s">
        <v>171</v>
      </c>
      <c r="C18" s="31" t="s">
        <v>172</v>
      </c>
      <c r="D18" s="31" t="s">
        <v>173</v>
      </c>
    </row>
    <row r="19" customFormat="false" ht="45.75" hidden="false" customHeight="true" outlineLevel="0" collapsed="false">
      <c r="A19" s="30" t="s">
        <v>174</v>
      </c>
      <c r="B19" s="31" t="s">
        <v>175</v>
      </c>
      <c r="C19" s="31" t="s">
        <v>176</v>
      </c>
      <c r="D19" s="31" t="s">
        <v>177</v>
      </c>
    </row>
    <row r="20" customFormat="false" ht="45.75" hidden="false" customHeight="true" outlineLevel="0" collapsed="false">
      <c r="A20" s="30" t="s">
        <v>178</v>
      </c>
      <c r="B20" s="31" t="s">
        <v>179</v>
      </c>
      <c r="C20" s="31" t="s">
        <v>180</v>
      </c>
      <c r="D20" s="31" t="s">
        <v>181</v>
      </c>
    </row>
    <row r="22" customFormat="false" ht="15" hidden="false" customHeight="true" outlineLevel="0" collapsed="false">
      <c r="A22" s="21" t="s">
        <v>182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